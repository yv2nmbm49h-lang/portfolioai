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ampbell/Documents/"/>
    </mc:Choice>
  </mc:AlternateContent>
  <xr:revisionPtr revIDLastSave="0" documentId="8_{791A6615-EDB9-A146-B820-6E45BC263EA3}" xr6:coauthVersionLast="47" xr6:coauthVersionMax="47" xr10:uidLastSave="{00000000-0000-0000-0000-000000000000}"/>
  <bookViews>
    <workbookView xWindow="0" yWindow="660" windowWidth="34560" windowHeight="19880" activeTab="1" xr2:uid="{FE54D99C-DB00-6D4B-BE08-3B3567D8BC90}"/>
  </bookViews>
  <sheets>
    <sheet name="Income Statement" sheetId="1" r:id="rId1"/>
    <sheet name="Advanced Formula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2" l="1"/>
  <c r="D12" i="2" a="1"/>
  <c r="D12" i="2" s="1"/>
  <c r="D11" i="2"/>
  <c r="D10" i="2" a="1"/>
  <c r="D10" i="2" s="1"/>
  <c r="D9" i="2"/>
  <c r="D8" i="2"/>
  <c r="L2" i="2"/>
  <c r="M6" i="2"/>
  <c r="L6" i="2"/>
  <c r="K6" i="2"/>
  <c r="G6" i="2"/>
  <c r="I6" i="2" s="1"/>
  <c r="F6" i="2"/>
  <c r="H6" i="2" s="1"/>
  <c r="J6" i="2" s="1"/>
  <c r="E6" i="2"/>
  <c r="M5" i="2"/>
  <c r="L5" i="2"/>
  <c r="K5" i="2"/>
  <c r="F5" i="2"/>
  <c r="H5" i="2" s="1"/>
  <c r="J5" i="2" s="1"/>
  <c r="E5" i="2"/>
  <c r="M4" i="2"/>
  <c r="L4" i="2"/>
  <c r="K4" i="2"/>
  <c r="H4" i="2"/>
  <c r="J4" i="2" s="1"/>
  <c r="F4" i="2"/>
  <c r="G4" i="2" s="1"/>
  <c r="I4" i="2" s="1"/>
  <c r="E4" i="2"/>
  <c r="M3" i="2"/>
  <c r="L3" i="2"/>
  <c r="K3" i="2"/>
  <c r="F3" i="2"/>
  <c r="H3" i="2" s="1"/>
  <c r="J3" i="2" s="1"/>
  <c r="E3" i="2"/>
  <c r="M2" i="2"/>
  <c r="K2" i="2"/>
  <c r="F2" i="2"/>
  <c r="H2" i="2" s="1"/>
  <c r="J2" i="2" s="1"/>
  <c r="E2" i="2"/>
  <c r="G3" i="2" l="1"/>
  <c r="I3" i="2" s="1"/>
  <c r="G5" i="2"/>
  <c r="I5" i="2" s="1"/>
  <c r="G2" i="2"/>
  <c r="I2" i="2" s="1"/>
  <c r="C6" i="1"/>
  <c r="C7" i="1" s="1"/>
  <c r="D6" i="1" l="1"/>
  <c r="B8" i="1"/>
  <c r="D7" i="1"/>
  <c r="D8" i="1" s="1"/>
  <c r="C8" i="1"/>
  <c r="D11" i="1" l="1"/>
  <c r="D13" i="1" s="1"/>
  <c r="D15" i="1" s="1"/>
  <c r="D17" i="1" s="1"/>
  <c r="D18" i="1" s="1"/>
  <c r="D9" i="1"/>
  <c r="C9" i="1"/>
  <c r="C11" i="1"/>
  <c r="C13" i="1" s="1"/>
  <c r="C15" i="1" s="1"/>
  <c r="C17" i="1" s="1"/>
  <c r="C18" i="1" s="1"/>
  <c r="B9" i="1"/>
  <c r="B11" i="1"/>
  <c r="B13" i="1" s="1"/>
  <c r="B15" i="1" s="1"/>
  <c r="B17" i="1" s="1"/>
  <c r="B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<sst xmlns="http://schemas.openxmlformats.org/spreadsheetml/2006/main" count="46" uniqueCount="41">
  <si>
    <t>PortfolioAI Inc. — Projected Income Statement</t>
  </si>
  <si>
    <t>(blank)</t>
  </si>
  <si>
    <t>SCENARIO →</t>
  </si>
  <si>
    <t>Bear</t>
  </si>
  <si>
    <t>Base</t>
  </si>
  <si>
    <t>Bull</t>
  </si>
  <si>
    <t>Revenue Growth %</t>
  </si>
  <si>
    <t>−5%</t>
  </si>
  <si>
    <t>Revenue</t>
  </si>
  <si>
    <t>formula</t>
  </si>
  <si>
    <t>Cost of Revenue</t>
  </si>
  <si>
    <t>Gross Profit</t>
  </si>
  <si>
    <t>Gross Margin %</t>
  </si>
  <si>
    <t>Operating Expenses</t>
  </si>
  <si>
    <t>EBITDA</t>
  </si>
  <si>
    <t>Depreciation</t>
  </si>
  <si>
    <t>input</t>
  </si>
  <si>
    <t>EBIT</t>
  </si>
  <si>
    <t>Interest Expense</t>
  </si>
  <si>
    <t>Pre-Tax Income</t>
  </si>
  <si>
    <t xml:space="preserve">Tax Rate </t>
  </si>
  <si>
    <t>Net Income</t>
  </si>
  <si>
    <t>Net Margin %</t>
  </si>
  <si>
    <t>Ticker</t>
  </si>
  <si>
    <t>Shares</t>
  </si>
  <si>
    <t>Purchase Price</t>
  </si>
  <si>
    <t>Current Price</t>
  </si>
  <si>
    <t>Total Cost</t>
  </si>
  <si>
    <t>Current Value</t>
  </si>
  <si>
    <t>Gain/Loss $</t>
  </si>
  <si>
    <t>Gain/Loss %</t>
  </si>
  <si>
    <t>Status</t>
  </si>
  <si>
    <t>Performance</t>
  </si>
  <si>
    <t>Company Name</t>
  </si>
  <si>
    <t>Sector</t>
  </si>
  <si>
    <t>Market Cap</t>
  </si>
  <si>
    <t>AAPL</t>
  </si>
  <si>
    <t>MSFT</t>
  </si>
  <si>
    <t>GOOGL</t>
  </si>
  <si>
    <t>NVDA</t>
  </si>
  <si>
    <t>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</si>
</sst>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%"/>
    <numFmt numFmtId="165" formatCode="&quot;$&quot;#,##0"/>
    <numFmt numFmtId="166" formatCode="&quot;$&quot;#,##0.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ndrewcampbell/Documents/Stock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ockInf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tockInfo"/>
    </sheetNames>
    <sheetDataSet>
      <sheetData sheetId="0">
        <row r="1">
          <cell r="A1" t="str">
            <v>Ticker</v>
          </cell>
          <cell r="B1" t="str">
            <v>Company Name</v>
          </cell>
          <cell r="C1" t="str">
            <v>Sector</v>
          </cell>
          <cell r="D1" t="str">
            <v>Market Cap</v>
          </cell>
        </row>
        <row r="2">
          <cell r="A2" t="str">
            <v>AAPL</v>
          </cell>
          <cell r="B2" t="str">
            <v>Apple Inc.</v>
          </cell>
          <cell r="C2" t="str">
            <v>Technology</v>
          </cell>
          <cell r="D2" t="str">
            <v>Large Cap</v>
          </cell>
        </row>
        <row r="3">
          <cell r="A3" t="str">
            <v>MSFT</v>
          </cell>
          <cell r="B3" t="str">
            <v>Microsoft Corporation</v>
          </cell>
          <cell r="C3" t="str">
            <v>Technology</v>
          </cell>
          <cell r="D3" t="str">
            <v>Large Cap</v>
          </cell>
        </row>
        <row r="4">
          <cell r="A4" t="str">
            <v>GOOGL</v>
          </cell>
          <cell r="B4" t="str">
            <v>Alphabet Inc.</v>
          </cell>
          <cell r="C4" t="str">
            <v>Communication Services</v>
          </cell>
          <cell r="D4" t="str">
            <v>Large Cap</v>
          </cell>
        </row>
        <row r="5">
          <cell r="A5" t="str">
            <v>AMZN</v>
          </cell>
          <cell r="B5" t="str">
            <v>Amazon.com Inc.</v>
          </cell>
          <cell r="C5" t="str">
            <v>Consumer Discretionary</v>
          </cell>
          <cell r="D5" t="str">
            <v>Large Cap</v>
          </cell>
        </row>
        <row r="6">
          <cell r="A6" t="str">
            <v>JPM</v>
          </cell>
          <cell r="B6" t="str">
            <v>JPMorgan Chase</v>
          </cell>
          <cell r="C6" t="str">
            <v>Financials</v>
          </cell>
          <cell r="D6" t="str">
            <v>Large Cap</v>
          </cell>
        </row>
        <row r="7">
          <cell r="A7" t="str">
            <v>JNJ</v>
          </cell>
          <cell r="B7" t="str">
            <v>Johnson &amp; Johnson</v>
          </cell>
          <cell r="C7" t="str">
            <v>Healthcare</v>
          </cell>
          <cell r="D7" t="str">
            <v>Large Cap</v>
          </cell>
        </row>
        <row r="8">
          <cell r="A8" t="str">
            <v>XOM</v>
          </cell>
          <cell r="B8" t="str">
            <v>Exxon Mobil</v>
          </cell>
          <cell r="C8" t="str">
            <v>Energy</v>
          </cell>
        </row>
        <row r="9">
          <cell r="A9" t="str">
            <v>BRK-B</v>
          </cell>
          <cell r="B9" t="str">
            <v>Berkshire Hathaway</v>
          </cell>
          <cell r="C9" t="str">
            <v>Financials</v>
          </cell>
        </row>
        <row r="10">
          <cell r="A10" t="str">
            <v>TSLA</v>
          </cell>
          <cell r="B10" t="str">
            <v>Tesla Inc.</v>
          </cell>
          <cell r="C10" t="str">
            <v>Consumer Discretionary</v>
          </cell>
        </row>
        <row r="11">
          <cell r="A11" t="str">
            <v>V</v>
          </cell>
          <cell r="B11" t="str">
            <v>Visa Inc.</v>
          </cell>
          <cell r="C11" t="str">
            <v>Financials</v>
          </cell>
        </row>
        <row r="12">
          <cell r="A12" t="str">
            <v>NVDA</v>
          </cell>
          <cell r="B12" t="str">
            <v>NVIDIA Corporation</v>
          </cell>
          <cell r="C12" t="str">
            <v>Information Technology</v>
          </cell>
        </row>
        <row r="13">
          <cell r="A13" t="str">
            <v>META</v>
          </cell>
          <cell r="B13" t="str">
            <v>Meta Platforms Inc.</v>
          </cell>
          <cell r="C13" t="str">
            <v>Communication Services</v>
          </cell>
        </row>
        <row r="14">
          <cell r="A14" t="str">
            <v>COST</v>
          </cell>
          <cell r="B14" t="str">
            <v>Costco Wholesale Corp</v>
          </cell>
          <cell r="C14" t="str">
            <v>Consumer Staples</v>
          </cell>
        </row>
        <row r="15">
          <cell r="A15" t="str">
            <v>HD</v>
          </cell>
          <cell r="B15" t="str">
            <v>Home Depot Inc.</v>
          </cell>
          <cell r="C15" t="str">
            <v>Consumer Discretionary</v>
          </cell>
        </row>
        <row r="16">
          <cell r="A16" t="str">
            <v>UNH</v>
          </cell>
          <cell r="B16" t="str">
            <v>UnitedHealth Group Inc.</v>
          </cell>
          <cell r="C16" t="str">
            <v>Healthcare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Info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7C3D-0127-DD49-911F-272110F39DB4}">
  <dimension ref="A1:D18"/>
  <sheetViews>
    <sheetView workbookViewId="0">
      <selection activeCell="D16" sqref="D16"/>
    </sheetView>
  </sheetViews>
  <sheetFormatPr baseColWidth="10" defaultRowHeight="16" x14ac:dyDescent="0.2"/>
  <cols>
    <col min="1" max="1" width="38.83203125" bestFit="1" customWidth="1"/>
    <col min="2" max="2" width="13.1640625" bestFit="1" customWidth="1"/>
    <col min="3" max="4" width="12.6640625" bestFit="1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6</v>
      </c>
      <c r="B4" s="11" t="s">
        <v>7</v>
      </c>
      <c r="C4" s="12">
        <v>0.1</v>
      </c>
      <c r="D4" s="12">
        <v>0.25</v>
      </c>
    </row>
    <row r="5" spans="1:4" x14ac:dyDescent="0.2">
      <c r="A5" t="s">
        <v>1</v>
      </c>
    </row>
    <row r="6" spans="1:4" ht="17" thickBot="1" x14ac:dyDescent="0.25">
      <c r="A6" s="7" t="s">
        <v>8</v>
      </c>
      <c r="B6" s="5">
        <v>1000000</v>
      </c>
      <c r="C6" s="6">
        <f>B6*(1+C4)</f>
        <v>1100000</v>
      </c>
      <c r="D6" s="6">
        <f>C6*(1+D4)</f>
        <v>1375000</v>
      </c>
    </row>
    <row r="7" spans="1:4" x14ac:dyDescent="0.2">
      <c r="A7" t="s">
        <v>10</v>
      </c>
      <c r="B7" s="12">
        <v>0.6</v>
      </c>
      <c r="C7" s="13">
        <f>C6*$B$7</f>
        <v>660000</v>
      </c>
      <c r="D7" s="13">
        <f>D6*$B$7</f>
        <v>825000</v>
      </c>
    </row>
    <row r="8" spans="1:4" ht="17" thickBot="1" x14ac:dyDescent="0.25">
      <c r="A8" s="9" t="s">
        <v>11</v>
      </c>
      <c r="B8" s="8">
        <f>B6-B7</f>
        <v>999999.4</v>
      </c>
      <c r="C8" s="6">
        <f>C6-C7</f>
        <v>440000</v>
      </c>
      <c r="D8" s="6">
        <f>D6-D7</f>
        <v>550000</v>
      </c>
    </row>
    <row r="9" spans="1:4" x14ac:dyDescent="0.2">
      <c r="A9" t="s">
        <v>12</v>
      </c>
      <c r="B9">
        <f>B8/B6</f>
        <v>0.99999939999999998</v>
      </c>
      <c r="C9">
        <f>C8/C6</f>
        <v>0.4</v>
      </c>
      <c r="D9">
        <f>D8/D6</f>
        <v>0.4</v>
      </c>
    </row>
    <row r="10" spans="1:4" x14ac:dyDescent="0.2">
      <c r="A10" t="s">
        <v>13</v>
      </c>
      <c r="B10" s="14">
        <v>250000</v>
      </c>
      <c r="C10" s="11" t="s">
        <v>9</v>
      </c>
      <c r="D10" s="11" t="s">
        <v>9</v>
      </c>
    </row>
    <row r="11" spans="1:4" x14ac:dyDescent="0.2">
      <c r="A11" s="10" t="s">
        <v>14</v>
      </c>
      <c r="B11" s="1">
        <f>B8-$B$10</f>
        <v>749999.4</v>
      </c>
      <c r="C11" s="3">
        <f>C8-$B$10</f>
        <v>190000</v>
      </c>
      <c r="D11" s="3">
        <f>D8-$B$10</f>
        <v>300000</v>
      </c>
    </row>
    <row r="12" spans="1:4" x14ac:dyDescent="0.2">
      <c r="A12" t="s">
        <v>15</v>
      </c>
      <c r="B12" s="14">
        <v>50000</v>
      </c>
      <c r="C12" s="11" t="s">
        <v>16</v>
      </c>
      <c r="D12" s="11" t="s">
        <v>16</v>
      </c>
    </row>
    <row r="13" spans="1:4" x14ac:dyDescent="0.2">
      <c r="A13" s="10" t="s">
        <v>17</v>
      </c>
      <c r="B13" s="1">
        <f>B11-$B$12</f>
        <v>699999.4</v>
      </c>
      <c r="C13" s="3">
        <f>C11-$B$12</f>
        <v>140000</v>
      </c>
      <c r="D13" s="3">
        <f>D11-$B$12</f>
        <v>250000</v>
      </c>
    </row>
    <row r="14" spans="1:4" x14ac:dyDescent="0.2">
      <c r="A14" t="s">
        <v>18</v>
      </c>
      <c r="B14" s="14">
        <v>25000</v>
      </c>
      <c r="C14" s="11" t="s">
        <v>16</v>
      </c>
      <c r="D14" s="11" t="s">
        <v>16</v>
      </c>
    </row>
    <row r="15" spans="1:4" x14ac:dyDescent="0.2">
      <c r="A15" t="s">
        <v>19</v>
      </c>
      <c r="B15" s="1">
        <f>B13-$B$14</f>
        <v>674999.4</v>
      </c>
      <c r="C15" s="3">
        <f>C13-$B$14</f>
        <v>115000</v>
      </c>
      <c r="D15" s="3">
        <f>D13-$B$14</f>
        <v>225000</v>
      </c>
    </row>
    <row r="16" spans="1:4" x14ac:dyDescent="0.2">
      <c r="A16" t="s">
        <v>20</v>
      </c>
      <c r="B16" s="12">
        <v>0.25</v>
      </c>
      <c r="C16" s="12">
        <v>0.25</v>
      </c>
      <c r="D16" s="12">
        <v>0.25</v>
      </c>
    </row>
    <row r="17" spans="1:4" x14ac:dyDescent="0.2">
      <c r="A17" s="10" t="s">
        <v>21</v>
      </c>
      <c r="B17" s="2">
        <f>B15*(1-$B$16)</f>
        <v>506249.55000000005</v>
      </c>
      <c r="C17" s="4">
        <f>C15*(1-$B$16)</f>
        <v>86250</v>
      </c>
      <c r="D17" s="4">
        <f>D15*(1-$B$16)</f>
        <v>168750</v>
      </c>
    </row>
    <row r="18" spans="1:4" x14ac:dyDescent="0.2">
      <c r="A18" t="s">
        <v>22</v>
      </c>
      <c r="B18" s="2">
        <f>B17/B6</f>
        <v>0.50624955000000005</v>
      </c>
      <c r="C18" s="2">
        <f>C17/C6</f>
        <v>7.8409090909090914E-2</v>
      </c>
      <c r="D18" s="2">
        <f>D17/D6</f>
        <v>0.12272727272727273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058E-7D0F-FC40-9B4C-A94A90101FB2}">
  <dimension ref="A1:M13"/>
  <sheetViews>
    <sheetView tabSelected="1" workbookViewId="0">
      <selection activeCell="C16" sqref="C16"/>
    </sheetView>
  </sheetViews>
  <sheetFormatPr baseColWidth="10" defaultRowHeight="16" x14ac:dyDescent="0.2"/>
  <cols>
    <col min="12" max="12" width="21.6640625" bestFit="1" customWidth="1"/>
  </cols>
  <sheetData>
    <row r="1" spans="1:13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">
      <c r="A2" t="s">
        <v>36</v>
      </c>
      <c r="B2">
        <v>10</v>
      </c>
      <c r="C2" s="15">
        <v>280</v>
      </c>
      <c r="D2" s="15">
        <v>291.58</v>
      </c>
      <c r="E2" s="15">
        <f>B2*C2</f>
        <v>2800</v>
      </c>
      <c r="F2" s="15">
        <f>B2*D2</f>
        <v>2915.7999999999997</v>
      </c>
      <c r="G2" s="15">
        <f>F2-E2</f>
        <v>115.79999999999973</v>
      </c>
      <c r="H2" s="1">
        <f>(F2-E2)/E2</f>
        <v>4.1357142857142759E-2</v>
      </c>
      <c r="I2" t="str">
        <f>IF(G2&gt;0,"Gain","Loss")</f>
        <v>Gain</v>
      </c>
      <c r="J2" t="str">
        <f>IF(H2&gt;0.05,"Strong",IF(H2&lt;-0.05,"Weak","Neutral"))</f>
        <v>Neutral</v>
      </c>
      <c r="K2" t="str">
        <f>VLOOKUP(A2, [1]Sheet1!$A$1:$D$20, 2, FALSE)</f>
        <v>Apple Inc.</v>
      </c>
      <c r="L2" t="str">
        <f>VLOOKUP(A2, [1]Sheet1!$A$1:$D$20, 3, FALSE)</f>
        <v>Technology</v>
      </c>
      <c r="M2" t="str">
        <f>VLOOKUP(A2, [1]Sheet1!$A$1:$D$20, 4, FALSE)</f>
        <v>Large Cap</v>
      </c>
    </row>
    <row r="3" spans="1:13" x14ac:dyDescent="0.2">
      <c r="A3" t="s">
        <v>37</v>
      </c>
      <c r="B3">
        <v>10</v>
      </c>
      <c r="C3" s="15">
        <v>390</v>
      </c>
      <c r="D3" s="15">
        <v>397.36</v>
      </c>
      <c r="E3" s="15">
        <f>B3*C3</f>
        <v>3900</v>
      </c>
      <c r="F3" s="15">
        <f>B3*D3</f>
        <v>3973.6000000000004</v>
      </c>
      <c r="G3" s="15">
        <f>F3-E3</f>
        <v>73.600000000000364</v>
      </c>
      <c r="H3" s="1">
        <f>(F3-E3)/E3</f>
        <v>1.8871794871794963E-2</v>
      </c>
      <c r="I3" t="str">
        <f t="shared" ref="I3:I6" si="0">IF(G3&gt;0,"Gain","Loss")</f>
        <v>Gain</v>
      </c>
      <c r="J3" t="str">
        <f t="shared" ref="J3:J6" si="1">IF(H3&gt;0.05,"Strong",IF(H3&lt;-0.05,"Weak","Neutral"))</f>
        <v>Neutral</v>
      </c>
      <c r="K3" t="str">
        <f>VLOOKUP(A3, [1]Sheet1!$A$1:$D$20, 2, FALSE)</f>
        <v>Microsoft Corporation</v>
      </c>
      <c r="L3" t="str">
        <f>VLOOKUP(A3, [1]Sheet1!$A$1:$D$20, 3, FALSE)</f>
        <v>Technology</v>
      </c>
      <c r="M3" t="str">
        <f>VLOOKUP(A3, [1]Sheet1!$A$1:$D$20, 4, FALSE)</f>
        <v>Large Cap</v>
      </c>
    </row>
    <row r="4" spans="1:13" x14ac:dyDescent="0.2">
      <c r="A4" t="s">
        <v>38</v>
      </c>
      <c r="B4">
        <v>10</v>
      </c>
      <c r="C4" s="15">
        <v>350</v>
      </c>
      <c r="D4" s="15">
        <v>356.38</v>
      </c>
      <c r="E4" s="15">
        <f>B4*C4</f>
        <v>3500</v>
      </c>
      <c r="F4" s="15">
        <f>B4*D4</f>
        <v>3563.8</v>
      </c>
      <c r="G4" s="15">
        <f>F4-E4</f>
        <v>63.800000000000182</v>
      </c>
      <c r="H4" s="1">
        <f>(F4-E4)/E4</f>
        <v>1.8228571428571479E-2</v>
      </c>
      <c r="I4" t="str">
        <f t="shared" si="0"/>
        <v>Gain</v>
      </c>
      <c r="J4" t="str">
        <f t="shared" si="1"/>
        <v>Neutral</v>
      </c>
      <c r="K4" t="str">
        <f>VLOOKUP(A4, [1]Sheet1!$A$1:$D$20, 2, FALSE)</f>
        <v>Alphabet Inc.</v>
      </c>
      <c r="L4" t="str">
        <f>VLOOKUP(A4, [1]Sheet1!$A$1:$D$20, 3, FALSE)</f>
        <v>Communication Services</v>
      </c>
      <c r="M4" t="str">
        <f>VLOOKUP(A4, [1]Sheet1!$A$1:$D$20, 4, FALSE)</f>
        <v>Large Cap</v>
      </c>
    </row>
    <row r="5" spans="1:13" x14ac:dyDescent="0.2">
      <c r="A5" t="s">
        <v>39</v>
      </c>
      <c r="B5">
        <v>10</v>
      </c>
      <c r="C5" s="15">
        <v>190</v>
      </c>
      <c r="D5" s="15">
        <v>202.35</v>
      </c>
      <c r="E5" s="15">
        <f>B5*C5</f>
        <v>1900</v>
      </c>
      <c r="F5" s="15">
        <f>B5*D5</f>
        <v>2023.5</v>
      </c>
      <c r="G5" s="15">
        <f>F5-E5</f>
        <v>123.5</v>
      </c>
      <c r="H5" s="1">
        <f>(F5-E5)/E5</f>
        <v>6.5000000000000002E-2</v>
      </c>
      <c r="I5" t="str">
        <f t="shared" si="0"/>
        <v>Gain</v>
      </c>
      <c r="J5" t="str">
        <f t="shared" si="1"/>
        <v>Strong</v>
      </c>
      <c r="K5" t="str">
        <f>VLOOKUP(A5, [1]Sheet1!$A$1:$D$20, 2, FALSE)</f>
        <v>NVIDIA Corporation</v>
      </c>
      <c r="L5" t="str">
        <f>VLOOKUP(A5, [1]Sheet1!$A$1:$D$20, 3, FALSE)</f>
        <v>Information Technology</v>
      </c>
      <c r="M5">
        <f>VLOOKUP(A5, [1]Sheet1!$A$1:$D$20, 4, FALSE)</f>
        <v>0</v>
      </c>
    </row>
    <row r="6" spans="1:13" x14ac:dyDescent="0.2">
      <c r="A6" t="s">
        <v>40</v>
      </c>
      <c r="B6">
        <v>10</v>
      </c>
      <c r="C6" s="15">
        <v>230</v>
      </c>
      <c r="D6" s="15">
        <v>237.42</v>
      </c>
      <c r="E6" s="15">
        <f>B6*C6</f>
        <v>2300</v>
      </c>
      <c r="F6" s="15">
        <f>B6*D6</f>
        <v>2374.1999999999998</v>
      </c>
      <c r="G6" s="15">
        <f>F6-E6</f>
        <v>74.199999999999818</v>
      </c>
      <c r="H6" s="1">
        <f>(F6-E6)/E6</f>
        <v>3.2260869565217315E-2</v>
      </c>
      <c r="I6" t="str">
        <f t="shared" si="0"/>
        <v>Gain</v>
      </c>
      <c r="J6" t="str">
        <f t="shared" si="1"/>
        <v>Neutral</v>
      </c>
      <c r="K6" t="str">
        <f>VLOOKUP(A6, [1]Sheet1!$A$1:$D$20, 2, FALSE)</f>
        <v>Amazon.com Inc.</v>
      </c>
      <c r="L6" t="str">
        <f>VLOOKUP(A6, [1]Sheet1!$A$1:$D$20, 3, FALSE)</f>
        <v>Consumer Discretionary</v>
      </c>
      <c r="M6" t="str">
        <f>VLOOKUP(A6, [1]Sheet1!$A$1:$D$20, 4, FALSE)</f>
        <v>Large Cap</v>
      </c>
    </row>
    <row r="8" spans="1:13" x14ac:dyDescent="0.2">
      <c r="D8">
        <f>SUMIF(B:B, "Technology", C:C)</f>
        <v>0</v>
      </c>
      <c r="G8" s="15"/>
    </row>
    <row r="9" spans="1:13" x14ac:dyDescent="0.2">
      <c r="D9">
        <f>SUMIFS(C:C, B:B, "Technology", C:C, "&gt;"&amp;0)</f>
        <v>0</v>
      </c>
    </row>
    <row r="10" spans="1:13" x14ac:dyDescent="0.2">
      <c r="D10" t="e" cm="1">
        <f t="array" ref="D10">INDEX(return_range, MATCH(lookup_value, lookup_range, 0))</f>
        <v>#NAME?</v>
      </c>
    </row>
    <row r="11" spans="1:13" x14ac:dyDescent="0.2">
      <c r="D11" t="e">
        <f>INDEX([2]StockInfo!C:C, MATCH(A2, [2]StockInfo!A:A, 0))</f>
        <v>#N/A</v>
      </c>
    </row>
    <row r="12" spans="1:13" x14ac:dyDescent="0.2">
      <c r="D12" t="str" cm="1">
        <f t="array" ref="D12">IFERROR(your_formula, "value if error")</f>
        <v>value if error</v>
      </c>
    </row>
    <row r="13" spans="1:13" x14ac:dyDescent="0.2">
      <c r="D13" t="str">
        <f>IFERROR(INDEX([2]StockInfo!C:C, MATCH(A2, [2]StockInfo!A:A, 0)), "Not found")</f>
        <v>Not found</v>
      </c>
    </row>
  </sheetData>
  <conditionalFormatting sqref="G2:H6 G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Advanced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Campbell</dc:creator>
  <cp:lastModifiedBy>Andrew Campbell</cp:lastModifiedBy>
  <dcterms:created xsi:type="dcterms:W3CDTF">2026-07-06T13:43:53Z</dcterms:created>
  <dcterms:modified xsi:type="dcterms:W3CDTF">2026-07-08T16:04:09Z</dcterms:modified>
</cp:coreProperties>
</file>