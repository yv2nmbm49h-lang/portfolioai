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wcampbell/Documents/"/>
    </mc:Choice>
  </mc:AlternateContent>
  <xr:revisionPtr revIDLastSave="0" documentId="8_{86F76226-AB8E-4F44-A1A6-B385BE2E1448}" xr6:coauthVersionLast="47" xr6:coauthVersionMax="47" xr10:uidLastSave="{00000000-0000-0000-0000-000000000000}"/>
  <bookViews>
    <workbookView xWindow="0" yWindow="660" windowWidth="34560" windowHeight="21680" xr2:uid="{7AC3CBC5-2EE3-4D42-8D86-41160F930081}"/>
  </bookViews>
  <sheets>
    <sheet name="Sheet1" sheetId="1" r:id="rId1"/>
  </sheets>
  <definedNames>
    <definedName name="_xlnm._FilterDatabase" localSheetId="0" hidden="1">Sheet1!$H$2:$H$6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2" i="1" l="1"/>
  <c r="I2" i="1"/>
  <c r="E2" i="1"/>
  <c r="F2" i="1"/>
  <c r="G2" i="1"/>
  <c r="F6" i="1"/>
  <c r="H6" i="1" s="1"/>
  <c r="J6" i="1" s="1"/>
  <c r="E6" i="1"/>
  <c r="F5" i="1"/>
  <c r="G5" i="1" s="1"/>
  <c r="I5" i="1" s="1"/>
  <c r="E5" i="1"/>
  <c r="F4" i="1"/>
  <c r="E4" i="1"/>
  <c r="F3" i="1"/>
  <c r="H3" i="1" s="1"/>
  <c r="J3" i="1" s="1"/>
  <c r="E3" i="1"/>
  <c r="G4" i="1" l="1"/>
  <c r="I4" i="1" s="1"/>
  <c r="H5" i="1"/>
  <c r="J5" i="1" s="1"/>
  <c r="G3" i="1"/>
  <c r="I3" i="1" s="1"/>
  <c r="H4" i="1"/>
  <c r="J4" i="1" s="1"/>
  <c r="G6" i="1"/>
  <c r="I6" i="1" s="1"/>
  <c r="H2" i="1"/>
</calcChain>
</file>

<file path=xl/sharedStrings.xml><?xml version="1.0" encoding="utf-8"?>
<sst xmlns="http://schemas.openxmlformats.org/spreadsheetml/2006/main" count="15" uniqueCount="15">
  <si>
    <t>Ticker</t>
  </si>
  <si>
    <t>Shares</t>
  </si>
  <si>
    <t>Purchase Price</t>
  </si>
  <si>
    <t>Current Price</t>
  </si>
  <si>
    <t>AAPL</t>
  </si>
  <si>
    <t>MSFT</t>
  </si>
  <si>
    <t>GOOGL</t>
  </si>
  <si>
    <t>NVDA</t>
  </si>
  <si>
    <t>Total Cost</t>
  </si>
  <si>
    <t>Current Value</t>
  </si>
  <si>
    <t>Gain/Loss $</t>
  </si>
  <si>
    <t>Gain/Loss %</t>
  </si>
  <si>
    <t>AMZN</t>
  </si>
  <si>
    <t>Status</t>
  </si>
  <si>
    <t>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</si>
</sst>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0.0%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8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42A6C-C374-414C-BDB3-3990FDF431CC}">
  <dimension ref="A1:J6"/>
  <sheetViews>
    <sheetView tabSelected="1" workbookViewId="0">
      <pane ySplit="1" topLeftCell="A2" activePane="bottomLeft" state="frozen"/>
      <selection pane="bottomLeft" activeCell="G9" sqref="G9"/>
    </sheetView>
  </sheetViews>
  <sheetFormatPr baseColWidth="10" defaultRowHeight="16" x14ac:dyDescent="0.2"/>
  <cols>
    <col min="3" max="3" width="13.1640625" bestFit="1" customWidth="1"/>
    <col min="4" max="4" width="12" bestFit="1" customWidth="1"/>
    <col min="6" max="6" width="12.332031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8</v>
      </c>
      <c r="F1" t="s">
        <v>9</v>
      </c>
      <c r="G1" t="s">
        <v>10</v>
      </c>
      <c r="H1" t="s">
        <v>11</v>
      </c>
      <c r="I1" t="s">
        <v>13</v>
      </c>
      <c r="J1" t="s">
        <v>14</v>
      </c>
    </row>
    <row r="2" spans="1:10" x14ac:dyDescent="0.2">
      <c r="A2" t="s">
        <v>4</v>
      </c>
      <c r="B2">
        <v>10</v>
      </c>
      <c r="C2" s="1">
        <v>280</v>
      </c>
      <c r="D2" s="1">
        <v>291.58</v>
      </c>
      <c r="E2" s="1">
        <f>B2*C2</f>
        <v>2800</v>
      </c>
      <c r="F2" s="1">
        <f>B2*D2</f>
        <v>2915.7999999999997</v>
      </c>
      <c r="G2" s="1">
        <f>F2-E2</f>
        <v>115.79999999999973</v>
      </c>
      <c r="H2" s="2">
        <f>(F2-E2)/E2</f>
        <v>4.1357142857142759E-2</v>
      </c>
      <c r="I2" t="str">
        <f>IF(G2&gt;0,"Gain","Loss")</f>
        <v>Gain</v>
      </c>
      <c r="J2" t="str">
        <f>IF(H2&gt;0.05,"Strong",IF(H2&lt;-0.05,"Weak","Neutral"))</f>
        <v>Neutral</v>
      </c>
    </row>
    <row r="3" spans="1:10" x14ac:dyDescent="0.2">
      <c r="A3" t="s">
        <v>5</v>
      </c>
      <c r="B3">
        <v>10</v>
      </c>
      <c r="C3" s="1">
        <v>390</v>
      </c>
      <c r="D3" s="1">
        <v>397.36</v>
      </c>
      <c r="E3" s="1">
        <f>B3*C3</f>
        <v>3900</v>
      </c>
      <c r="F3" s="1">
        <f>B3*D3</f>
        <v>3973.6000000000004</v>
      </c>
      <c r="G3" s="1">
        <f>F3-E3</f>
        <v>73.600000000000364</v>
      </c>
      <c r="H3" s="2">
        <f>(F3-E3)/E3</f>
        <v>1.8871794871794963E-2</v>
      </c>
      <c r="I3" t="str">
        <f t="shared" ref="I3:I6" si="0">IF(G3&gt;0,"Gain","Loss")</f>
        <v>Gain</v>
      </c>
      <c r="J3" t="str">
        <f t="shared" ref="J3:J6" si="1">IF(H3&gt;0.05,"Strong",IF(H3&lt;-0.05,"Weak","Neutral"))</f>
        <v>Neutral</v>
      </c>
    </row>
    <row r="4" spans="1:10" x14ac:dyDescent="0.2">
      <c r="A4" t="s">
        <v>6</v>
      </c>
      <c r="B4">
        <v>10</v>
      </c>
      <c r="C4" s="1">
        <v>350</v>
      </c>
      <c r="D4" s="1">
        <v>356.38</v>
      </c>
      <c r="E4" s="1">
        <f>B4*C4</f>
        <v>3500</v>
      </c>
      <c r="F4" s="1">
        <f>B4*D4</f>
        <v>3563.8</v>
      </c>
      <c r="G4" s="1">
        <f>F4-E4</f>
        <v>63.800000000000182</v>
      </c>
      <c r="H4" s="2">
        <f>(F4-E4)/E4</f>
        <v>1.8228571428571479E-2</v>
      </c>
      <c r="I4" t="str">
        <f t="shared" si="0"/>
        <v>Gain</v>
      </c>
      <c r="J4" t="str">
        <f t="shared" si="1"/>
        <v>Neutral</v>
      </c>
    </row>
    <row r="5" spans="1:10" x14ac:dyDescent="0.2">
      <c r="A5" t="s">
        <v>7</v>
      </c>
      <c r="B5">
        <v>10</v>
      </c>
      <c r="C5" s="1">
        <v>190</v>
      </c>
      <c r="D5" s="1">
        <v>202.35</v>
      </c>
      <c r="E5" s="1">
        <f>B5*C5</f>
        <v>1900</v>
      </c>
      <c r="F5" s="1">
        <f>B5*D5</f>
        <v>2023.5</v>
      </c>
      <c r="G5" s="1">
        <f>F5-E5</f>
        <v>123.5</v>
      </c>
      <c r="H5" s="2">
        <f>(F5-E5)/E5</f>
        <v>6.5000000000000002E-2</v>
      </c>
      <c r="I5" t="str">
        <f t="shared" si="0"/>
        <v>Gain</v>
      </c>
      <c r="J5" t="str">
        <f t="shared" si="1"/>
        <v>Strong</v>
      </c>
    </row>
    <row r="6" spans="1:10" x14ac:dyDescent="0.2">
      <c r="A6" t="s">
        <v>12</v>
      </c>
      <c r="B6">
        <v>10</v>
      </c>
      <c r="C6" s="1">
        <v>230</v>
      </c>
      <c r="D6" s="1">
        <v>237.42</v>
      </c>
      <c r="E6" s="1">
        <f>B6*C6</f>
        <v>2300</v>
      </c>
      <c r="F6" s="1">
        <f>B6*D6</f>
        <v>2374.1999999999998</v>
      </c>
      <c r="G6" s="1">
        <f>F6-E6</f>
        <v>74.199999999999818</v>
      </c>
      <c r="H6" s="2">
        <f>(F6-E6)/E6</f>
        <v>3.2260869565217315E-2</v>
      </c>
      <c r="I6" t="str">
        <f t="shared" si="0"/>
        <v>Gain</v>
      </c>
      <c r="J6" t="str">
        <f t="shared" si="1"/>
        <v>Neutral</v>
      </c>
    </row>
  </sheetData>
  <autoFilter ref="H2:H6" xr:uid="{B4C42A6C-C374-414C-BDB3-3990FDF431CC}"/>
  <conditionalFormatting sqref="G2:H6">
    <cfRule type="cellIs" dxfId="2" priority="2" operator="greaterThan">
      <formula>0</formula>
    </cfRule>
    <cfRule type="cellIs" dxfId="1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Campbell</dc:creator>
  <cp:lastModifiedBy>Andrew Campbell</cp:lastModifiedBy>
  <dcterms:created xsi:type="dcterms:W3CDTF">2026-06-11T13:18:14Z</dcterms:created>
  <dcterms:modified xsi:type="dcterms:W3CDTF">2026-06-11T14:42:27Z</dcterms:modified>
</cp:coreProperties>
</file>